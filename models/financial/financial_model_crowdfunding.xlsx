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elinePruvost\Documents\circular-energy-fund\models\financial\"/>
    </mc:Choice>
  </mc:AlternateContent>
  <xr:revisionPtr revIDLastSave="0" documentId="13_ncr:1_{965E7DCA-7EB9-4991-857A-6488062F55E9}" xr6:coauthVersionLast="47" xr6:coauthVersionMax="47" xr10:uidLastSave="{00000000-0000-0000-0000-000000000000}"/>
  <bookViews>
    <workbookView xWindow="-108" yWindow="-108" windowWidth="23256" windowHeight="12456" xr2:uid="{D264A57A-F8FE-4DF8-A1A7-B185DC2A0E30}"/>
  </bookViews>
  <sheets>
    <sheet name="Cashflow" sheetId="5" r:id="rId1"/>
    <sheet name="OPEX" sheetId="4" r:id="rId2"/>
    <sheet name="Assunzioni" sheetId="3" r:id="rId3"/>
    <sheet name="CAPEX" sheetId="2" r:id="rId4"/>
    <sheet name="Ricavi" sheetId="1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5" l="1"/>
  <c r="B25" i="5"/>
  <c r="B24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  <c r="D2" i="5"/>
</calcChain>
</file>

<file path=xl/sharedStrings.xml><?xml version="1.0" encoding="utf-8"?>
<sst xmlns="http://schemas.openxmlformats.org/spreadsheetml/2006/main" count="19" uniqueCount="18">
  <si>
    <t>Fonte</t>
  </si>
  <si>
    <t>Importo annuo</t>
  </si>
  <si>
    <t>Voce</t>
  </si>
  <si>
    <t>Costo</t>
  </si>
  <si>
    <t>Fornitore</t>
  </si>
  <si>
    <t>Parametro</t>
  </si>
  <si>
    <t>Valore</t>
  </si>
  <si>
    <t>Note</t>
  </si>
  <si>
    <t>Costo annuo</t>
  </si>
  <si>
    <t>Anno</t>
  </si>
  <si>
    <t>Cash In</t>
  </si>
  <si>
    <t>Cash Out</t>
  </si>
  <si>
    <t>Netto</t>
  </si>
  <si>
    <t>Tasso di sconto</t>
  </si>
  <si>
    <t>Cumulato</t>
  </si>
  <si>
    <t>ROI</t>
  </si>
  <si>
    <t>IRR</t>
  </si>
  <si>
    <t>NPV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</si>
</sst>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£&quot;#,##0.00;[Red]\-&quot;£&quot;#,##0.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0" fontId="0" fillId="0" borderId="0" xfId="0" applyNumberFormat="1"/>
    <xf numFmtId="9" fontId="0" fillId="0" borderId="0" xfId="0" applyNumberFormat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Assumption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BE27-92FE-47F5-9B77-15FAB5E6A743}">
  <dimension ref="A1:E26"/>
  <sheetViews>
    <sheetView tabSelected="1" workbookViewId="0"/>
  </sheetViews>
  <sheetFormatPr defaultRowHeight="14.4" x14ac:dyDescent="0.3"/>
  <cols>
    <col min="1" max="1" width="5.109375" bestFit="1" customWidth="1"/>
    <col min="2" max="2" width="7" bestFit="1" customWidth="1"/>
    <col min="3" max="3" width="8.44140625" bestFit="1" customWidth="1"/>
    <col min="4" max="4" width="7.6640625" bestFit="1" customWidth="1"/>
    <col min="5" max="5" width="8.77734375" bestFit="1" customWidth="1"/>
  </cols>
  <sheetData>
    <row r="1" spans="1:5" x14ac:dyDescent="0.3">
      <c r="A1" s="1" t="s">
        <v>9</v>
      </c>
      <c r="B1" s="1" t="s">
        <v>10</v>
      </c>
      <c r="C1" s="1" t="s">
        <v>11</v>
      </c>
      <c r="D1" s="1" t="s">
        <v>12</v>
      </c>
      <c r="E1" t="s">
        <v>14</v>
      </c>
    </row>
    <row r="2" spans="1:5" x14ac:dyDescent="0.3">
      <c r="A2">
        <v>0</v>
      </c>
      <c r="B2">
        <v>0</v>
      </c>
      <c r="C2">
        <v>500000</v>
      </c>
      <c r="D2">
        <f>B2-C2</f>
        <v>-500000</v>
      </c>
      <c r="E2">
        <f>SUM(D$2:D2)</f>
        <v>-500000</v>
      </c>
    </row>
    <row r="3" spans="1:5" x14ac:dyDescent="0.3">
      <c r="A3">
        <v>1</v>
      </c>
      <c r="B3">
        <v>70000</v>
      </c>
      <c r="C3">
        <v>10000</v>
      </c>
      <c r="D3">
        <f>B3-C3</f>
        <v>60000</v>
      </c>
      <c r="E3">
        <f>SUM(D$2:D3)</f>
        <v>-440000</v>
      </c>
    </row>
    <row r="4" spans="1:5" x14ac:dyDescent="0.3">
      <c r="A4">
        <v>2</v>
      </c>
      <c r="B4">
        <v>70000</v>
      </c>
      <c r="C4">
        <v>10000</v>
      </c>
      <c r="D4">
        <f>B4-C4</f>
        <v>60000</v>
      </c>
      <c r="E4">
        <f>SUM(D$2:D4)</f>
        <v>-380000</v>
      </c>
    </row>
    <row r="5" spans="1:5" x14ac:dyDescent="0.3">
      <c r="A5">
        <v>3</v>
      </c>
      <c r="B5">
        <v>70000</v>
      </c>
      <c r="C5">
        <v>10000</v>
      </c>
      <c r="D5">
        <f>B5-C5</f>
        <v>60000</v>
      </c>
      <c r="E5">
        <f>SUM(D$2:D5)</f>
        <v>-320000</v>
      </c>
    </row>
    <row r="6" spans="1:5" x14ac:dyDescent="0.3">
      <c r="A6">
        <v>4</v>
      </c>
      <c r="B6">
        <v>70000</v>
      </c>
      <c r="C6">
        <v>10000</v>
      </c>
      <c r="D6">
        <f>B6-C6</f>
        <v>60000</v>
      </c>
      <c r="E6">
        <f>SUM(D$2:D6)</f>
        <v>-260000</v>
      </c>
    </row>
    <row r="7" spans="1:5" x14ac:dyDescent="0.3">
      <c r="A7">
        <v>5</v>
      </c>
      <c r="B7">
        <v>70000</v>
      </c>
      <c r="C7">
        <v>10000</v>
      </c>
      <c r="D7">
        <f>B7-C7</f>
        <v>60000</v>
      </c>
      <c r="E7">
        <f>SUM(D$2:D7)</f>
        <v>-200000</v>
      </c>
    </row>
    <row r="8" spans="1:5" x14ac:dyDescent="0.3">
      <c r="A8">
        <v>6</v>
      </c>
      <c r="B8">
        <v>70000</v>
      </c>
      <c r="C8">
        <v>10000</v>
      </c>
      <c r="D8">
        <f>B8-C8</f>
        <v>60000</v>
      </c>
      <c r="E8">
        <f>SUM(D$2:D8)</f>
        <v>-140000</v>
      </c>
    </row>
    <row r="9" spans="1:5" x14ac:dyDescent="0.3">
      <c r="A9">
        <v>7</v>
      </c>
      <c r="B9">
        <v>70000</v>
      </c>
      <c r="C9">
        <v>10000</v>
      </c>
      <c r="D9">
        <f>B9-C9</f>
        <v>60000</v>
      </c>
      <c r="E9">
        <f>SUM(D$2:D9)</f>
        <v>-80000</v>
      </c>
    </row>
    <row r="10" spans="1:5" x14ac:dyDescent="0.3">
      <c r="A10">
        <v>8</v>
      </c>
      <c r="B10">
        <v>70000</v>
      </c>
      <c r="C10">
        <v>10000</v>
      </c>
      <c r="D10">
        <f>B10-C10</f>
        <v>60000</v>
      </c>
      <c r="E10">
        <f>SUM(D$2:D10)</f>
        <v>-20000</v>
      </c>
    </row>
    <row r="11" spans="1:5" x14ac:dyDescent="0.3">
      <c r="A11">
        <v>9</v>
      </c>
      <c r="B11">
        <v>70000</v>
      </c>
      <c r="C11">
        <v>10000</v>
      </c>
      <c r="D11">
        <f>B11-C11</f>
        <v>60000</v>
      </c>
      <c r="E11">
        <f>SUM(D$2:D11)</f>
        <v>40000</v>
      </c>
    </row>
    <row r="12" spans="1:5" x14ac:dyDescent="0.3">
      <c r="A12">
        <v>10</v>
      </c>
      <c r="B12">
        <v>70000</v>
      </c>
      <c r="C12">
        <v>10000</v>
      </c>
      <c r="D12">
        <f>B12-C12</f>
        <v>60000</v>
      </c>
      <c r="E12">
        <f>SUM(D$2:D12)</f>
        <v>100000</v>
      </c>
    </row>
    <row r="13" spans="1:5" x14ac:dyDescent="0.3">
      <c r="A13">
        <v>11</v>
      </c>
      <c r="B13">
        <v>70000</v>
      </c>
      <c r="C13">
        <v>10000</v>
      </c>
      <c r="D13">
        <f>B13-C13</f>
        <v>60000</v>
      </c>
      <c r="E13">
        <f>SUM(D$2:D13)</f>
        <v>160000</v>
      </c>
    </row>
    <row r="14" spans="1:5" x14ac:dyDescent="0.3">
      <c r="A14">
        <v>12</v>
      </c>
      <c r="B14">
        <v>70000</v>
      </c>
      <c r="C14">
        <v>10000</v>
      </c>
      <c r="D14">
        <f>B14-C14</f>
        <v>60000</v>
      </c>
      <c r="E14">
        <f>SUM(D$2:D14)</f>
        <v>220000</v>
      </c>
    </row>
    <row r="15" spans="1:5" x14ac:dyDescent="0.3">
      <c r="A15">
        <v>13</v>
      </c>
      <c r="B15">
        <v>70000</v>
      </c>
      <c r="C15">
        <v>10000</v>
      </c>
      <c r="D15">
        <f>B15-C15</f>
        <v>60000</v>
      </c>
      <c r="E15">
        <f>SUM(D$2:D15)</f>
        <v>280000</v>
      </c>
    </row>
    <row r="16" spans="1:5" x14ac:dyDescent="0.3">
      <c r="A16">
        <v>14</v>
      </c>
      <c r="B16">
        <v>70000</v>
      </c>
      <c r="C16">
        <v>10000</v>
      </c>
      <c r="D16">
        <f>B16-C16</f>
        <v>60000</v>
      </c>
      <c r="E16">
        <f>SUM(D$2:D16)</f>
        <v>340000</v>
      </c>
    </row>
    <row r="17" spans="1:5" x14ac:dyDescent="0.3">
      <c r="A17">
        <v>15</v>
      </c>
      <c r="B17">
        <v>70000</v>
      </c>
      <c r="C17">
        <v>10000</v>
      </c>
      <c r="D17">
        <f>B17-C17</f>
        <v>60000</v>
      </c>
      <c r="E17">
        <f>SUM(D$2:D17)</f>
        <v>400000</v>
      </c>
    </row>
    <row r="18" spans="1:5" x14ac:dyDescent="0.3">
      <c r="A18">
        <v>16</v>
      </c>
      <c r="B18">
        <v>70000</v>
      </c>
      <c r="C18">
        <v>10000</v>
      </c>
      <c r="D18">
        <f>B18-C18</f>
        <v>60000</v>
      </c>
      <c r="E18">
        <f>SUM(D$2:D18)</f>
        <v>460000</v>
      </c>
    </row>
    <row r="19" spans="1:5" x14ac:dyDescent="0.3">
      <c r="A19">
        <v>17</v>
      </c>
      <c r="B19">
        <v>70000</v>
      </c>
      <c r="C19">
        <v>10000</v>
      </c>
      <c r="D19">
        <f>B19-C19</f>
        <v>60000</v>
      </c>
      <c r="E19">
        <f>SUM(D$2:D19)</f>
        <v>520000</v>
      </c>
    </row>
    <row r="20" spans="1:5" x14ac:dyDescent="0.3">
      <c r="A20">
        <v>18</v>
      </c>
      <c r="B20">
        <v>70000</v>
      </c>
      <c r="C20">
        <v>10000</v>
      </c>
      <c r="D20">
        <f>B20-C20</f>
        <v>60000</v>
      </c>
      <c r="E20">
        <f>SUM(D$2:D20)</f>
        <v>580000</v>
      </c>
    </row>
    <row r="21" spans="1:5" x14ac:dyDescent="0.3">
      <c r="A21">
        <v>19</v>
      </c>
      <c r="B21">
        <v>70000</v>
      </c>
      <c r="C21">
        <v>10000</v>
      </c>
      <c r="D21">
        <f>B21-C21</f>
        <v>60000</v>
      </c>
      <c r="E21">
        <f>SUM(D$2:D21)</f>
        <v>640000</v>
      </c>
    </row>
    <row r="22" spans="1:5" x14ac:dyDescent="0.3">
      <c r="A22">
        <v>20</v>
      </c>
      <c r="B22">
        <v>70000</v>
      </c>
      <c r="C22">
        <v>10000</v>
      </c>
      <c r="D22">
        <f>B22-C22</f>
        <v>60000</v>
      </c>
      <c r="E22">
        <f>SUM(D$2:D22)</f>
        <v>700000</v>
      </c>
    </row>
    <row r="24" spans="1:5" x14ac:dyDescent="0.3">
      <c r="A24" t="s">
        <v>16</v>
      </c>
      <c r="B24" s="3">
        <f>IRR(D2:D22)</f>
        <v>0.10315614602932954</v>
      </c>
    </row>
    <row r="25" spans="1:5" x14ac:dyDescent="0.3">
      <c r="A25" t="s">
        <v>17</v>
      </c>
      <c r="B25" s="4" t="e">
        <f>NPV([1]Assumptions!B2,D3:D22)+D2</f>
        <v>#REF!</v>
      </c>
    </row>
    <row r="26" spans="1:5" x14ac:dyDescent="0.3">
      <c r="A26" t="s">
        <v>15</v>
      </c>
      <c r="B26">
        <f>(SUM(B2:B22)-SUM(C2:C22))/SUM(C2:C22)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5DE18-B320-4E07-A514-5449D45B0C60}">
  <dimension ref="A1:B1"/>
  <sheetViews>
    <sheetView workbookViewId="0"/>
  </sheetViews>
  <sheetFormatPr defaultRowHeight="14.4" x14ac:dyDescent="0.3"/>
  <cols>
    <col min="1" max="1" width="5.109375" bestFit="1" customWidth="1"/>
    <col min="2" max="2" width="11.109375" bestFit="1" customWidth="1"/>
  </cols>
  <sheetData>
    <row r="1" spans="1:2" x14ac:dyDescent="0.3">
      <c r="A1" s="1" t="s">
        <v>2</v>
      </c>
      <c r="B1" s="1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CE410-6A17-4169-858C-950C42088566}">
  <dimension ref="A1:C2"/>
  <sheetViews>
    <sheetView workbookViewId="0"/>
  </sheetViews>
  <sheetFormatPr defaultRowHeight="14.4" x14ac:dyDescent="0.3"/>
  <cols>
    <col min="1" max="1" width="9.77734375" bestFit="1" customWidth="1"/>
    <col min="2" max="2" width="6.33203125" bestFit="1" customWidth="1"/>
    <col min="3" max="3" width="5" bestFit="1" customWidth="1"/>
  </cols>
  <sheetData>
    <row r="1" spans="1:3" x14ac:dyDescent="0.3">
      <c r="A1" s="1" t="s">
        <v>5</v>
      </c>
      <c r="B1" s="1" t="s">
        <v>6</v>
      </c>
      <c r="C1" s="1" t="s">
        <v>7</v>
      </c>
    </row>
    <row r="2" spans="1:3" x14ac:dyDescent="0.3">
      <c r="A2" t="s">
        <v>13</v>
      </c>
      <c r="B2" s="2">
        <v>0.06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0DE59-92DF-4BC6-83EA-350D88661719}">
  <dimension ref="A1:C1"/>
  <sheetViews>
    <sheetView workbookViewId="0"/>
  </sheetViews>
  <sheetFormatPr defaultRowHeight="14.4" x14ac:dyDescent="0.3"/>
  <cols>
    <col min="1" max="1" width="5.109375" bestFit="1" customWidth="1"/>
    <col min="2" max="2" width="5.77734375" bestFit="1" customWidth="1"/>
    <col min="3" max="3" width="8.5546875" bestFit="1" customWidth="1"/>
  </cols>
  <sheetData>
    <row r="1" spans="1:3" x14ac:dyDescent="0.3">
      <c r="A1" s="1" t="s">
        <v>2</v>
      </c>
      <c r="B1" s="1" t="s">
        <v>3</v>
      </c>
      <c r="C1" s="1" t="s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DE8D8-3DA8-4B13-87F1-B07DD665EB4F}">
  <dimension ref="A1:B1"/>
  <sheetViews>
    <sheetView workbookViewId="0"/>
  </sheetViews>
  <sheetFormatPr defaultRowHeight="14.4" x14ac:dyDescent="0.3"/>
  <cols>
    <col min="1" max="1" width="5.6640625" bestFit="1" customWidth="1"/>
    <col min="2" max="2" width="13.109375" bestFit="1" customWidth="1"/>
  </cols>
  <sheetData>
    <row r="1" spans="1:2" x14ac:dyDescent="0.3">
      <c r="A1" s="1" t="s">
        <v>0</v>
      </c>
      <c r="B1" s="1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Cashflow</vt:lpstr>
      <vt:lpstr>OPEX</vt:lpstr>
      <vt:lpstr>Assunzioni</vt:lpstr>
      <vt:lpstr>CAPEX</vt:lpstr>
      <vt:lpstr>Ricavi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nambo yang</dc:creator>
  <cp:lastModifiedBy>nambo yang</cp:lastModifiedBy>
  <dcterms:created xsi:type="dcterms:W3CDTF">2025-12-22T14:53:45Z</dcterms:created>
  <dcterms:modified xsi:type="dcterms:W3CDTF">2025-12-22T14:59:50Z</dcterms:modified>
</cp:coreProperties>
</file>